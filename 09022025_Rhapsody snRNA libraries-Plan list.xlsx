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PWang4/Downloads/"/>
    </mc:Choice>
  </mc:AlternateContent>
  <xr:revisionPtr revIDLastSave="0" documentId="13_ncr:1_{CD47C78B-9CA9-9241-A032-87D2C4F0E509}" xr6:coauthVersionLast="47" xr6:coauthVersionMax="47" xr10:uidLastSave="{00000000-0000-0000-0000-000000000000}"/>
  <bookViews>
    <workbookView xWindow="0" yWindow="500" windowWidth="28060" windowHeight="14760" activeTab="2" xr2:uid="{00000000-000D-0000-FFFF-FFFF00000000}"/>
  </bookViews>
  <sheets>
    <sheet name="Sheet1" sheetId="1" r:id="rId1"/>
    <sheet name="plan" sheetId="2" r:id="rId2"/>
    <sheet name="Sheet2" sheetId="3" r:id="rId3"/>
  </sheets>
  <definedNames>
    <definedName name="_xlnm._FilterDatabase" localSheetId="0" hidden="1">Sheet1!$A$35:$K$35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1" i="1" l="1"/>
  <c r="C72" i="1"/>
  <c r="C73" i="1"/>
  <c r="C74" i="1"/>
  <c r="C75" i="1"/>
  <c r="C76" i="1"/>
  <c r="C77" i="1"/>
  <c r="C79" i="1"/>
  <c r="J27" i="1"/>
</calcChain>
</file>

<file path=xl/sharedStrings.xml><?xml version="1.0" encoding="utf-8"?>
<sst xmlns="http://schemas.openxmlformats.org/spreadsheetml/2006/main" count="301" uniqueCount="132">
  <si>
    <t>nuclei/cell</t>
  </si>
  <si>
    <t>Tissue type</t>
  </si>
  <si>
    <t>Plant species</t>
  </si>
  <si>
    <t>number of nuclei loaded</t>
  </si>
  <si>
    <t>Fresh/Frozen</t>
  </si>
  <si>
    <t>Root</t>
  </si>
  <si>
    <t>Sorghum</t>
  </si>
  <si>
    <t>fresh</t>
  </si>
  <si>
    <t>50k</t>
  </si>
  <si>
    <t>nuclei</t>
  </si>
  <si>
    <t>Treatment</t>
  </si>
  <si>
    <t>Sample ID</t>
  </si>
  <si>
    <t>Created date</t>
  </si>
  <si>
    <t>NVRC_Tn5_1batch</t>
  </si>
  <si>
    <t>none VRC treatment, Tn5 added. 3mM Mg in the suspension buffer</t>
  </si>
  <si>
    <t>Index</t>
  </si>
  <si>
    <t>B2</t>
  </si>
  <si>
    <t>NVRC_Tn5_2batch</t>
  </si>
  <si>
    <t>E2</t>
  </si>
  <si>
    <t>VRC_Tn5_5mMMg_2b</t>
  </si>
  <si>
    <t>VRC_Tn5_10mMMg_2b</t>
  </si>
  <si>
    <t>VRC_Tn5_15mMMg_2b</t>
  </si>
  <si>
    <t>1mM VRC in chopping buffer, 5mM EDTA washed, 5mM Mg 2ond wash</t>
  </si>
  <si>
    <t>1mM VRC in chopping buffer, 5mM EDTA washed, 10mM Mg 2ond wash</t>
  </si>
  <si>
    <t>1mM VRC in chopping buffer, 5mM EDTA washed, 15mM Mg 2ond wash</t>
  </si>
  <si>
    <t>F2</t>
  </si>
  <si>
    <t>G2</t>
  </si>
  <si>
    <t>H2</t>
  </si>
  <si>
    <t>Seagrass rhizome</t>
  </si>
  <si>
    <t>Seagrass meristem</t>
  </si>
  <si>
    <t>Seagrass root + sorghum LRT + rice LRT</t>
  </si>
  <si>
    <t>adding RNase inhibitor (sigma)</t>
  </si>
  <si>
    <t>sample type</t>
  </si>
  <si>
    <t>comments</t>
  </si>
  <si>
    <t xml:space="preserve">Leaf zone 2 </t>
  </si>
  <si>
    <t>from 4 monocots</t>
  </si>
  <si>
    <t>4spe_mono_FL_NV</t>
  </si>
  <si>
    <t>4spe_mono_FL_V</t>
  </si>
  <si>
    <t>4spe_lignified_RT_NV</t>
  </si>
  <si>
    <t>4spe_lignified_RT_V</t>
  </si>
  <si>
    <t>4spe_panicle_stg7</t>
  </si>
  <si>
    <t>4spe_leaf_zone1</t>
  </si>
  <si>
    <t>4spe_leaf_zone3</t>
  </si>
  <si>
    <t>4spe_leaf_zone4</t>
  </si>
  <si>
    <t>Seagrass_LF_4</t>
  </si>
  <si>
    <t>Rice, sorghum, panicum, Brachypodium</t>
  </si>
  <si>
    <t>Seagrass</t>
  </si>
  <si>
    <t>Leaf</t>
  </si>
  <si>
    <t>Frozen</t>
  </si>
  <si>
    <t>Panicle</t>
  </si>
  <si>
    <t>30k</t>
  </si>
  <si>
    <t>60k</t>
  </si>
  <si>
    <t>22k</t>
  </si>
  <si>
    <t>36k</t>
  </si>
  <si>
    <t>none VRC treatment during the chopping</t>
  </si>
  <si>
    <t>1mM VRC treatment during the chopping</t>
  </si>
  <si>
    <t>Regular process</t>
  </si>
  <si>
    <t xml:space="preserve">More detergent (0.02% Triton and 0.2% NP40) and 0.35M sorbitol added during chopping 1g leaf tissue. </t>
  </si>
  <si>
    <t>Callus induction stage</t>
  </si>
  <si>
    <t>Callus regeneration stage</t>
  </si>
  <si>
    <t>Brachy</t>
  </si>
  <si>
    <r>
      <t xml:space="preserve">Reverse primer 2# i7 sequences: CGAGGCTG </t>
    </r>
    <r>
      <rPr>
        <b/>
        <sz val="10"/>
        <color rgb="FFFF0000"/>
        <rFont val="Arial"/>
        <family val="2"/>
      </rPr>
      <t>(N710-D501)</t>
    </r>
  </si>
  <si>
    <r>
      <t xml:space="preserve">Reverse primer 3# i7 sequences: AAGAGGCA </t>
    </r>
    <r>
      <rPr>
        <b/>
        <sz val="10"/>
        <color rgb="FFFF0000"/>
        <rFont val="Arial"/>
        <family val="2"/>
      </rPr>
      <t>(N711-D501)</t>
    </r>
  </si>
  <si>
    <r>
      <t xml:space="preserve">Reverse primer 4# i7 sequences: GTAGAGGA </t>
    </r>
    <r>
      <rPr>
        <b/>
        <sz val="10"/>
        <color rgb="FFFF0000"/>
        <rFont val="Arial"/>
        <family val="2"/>
      </rPr>
      <t>(N712-D501)</t>
    </r>
  </si>
  <si>
    <r>
      <t xml:space="preserve">Reverse primer 1# i7 sequences: GCTACGCT </t>
    </r>
    <r>
      <rPr>
        <b/>
        <sz val="10"/>
        <color rgb="FFFF0000"/>
        <rFont val="Arial"/>
        <family val="2"/>
      </rPr>
      <t>(N709-D501)</t>
    </r>
  </si>
  <si>
    <t>Reverse Primer ID</t>
  </si>
  <si>
    <t>N709-D501</t>
  </si>
  <si>
    <t>N710-D501</t>
  </si>
  <si>
    <t>N711-D501</t>
  </si>
  <si>
    <t>N712-D501</t>
  </si>
  <si>
    <t>Pool</t>
  </si>
  <si>
    <t xml:space="preserve">no RNase inhibitor. Add more data for previous low data result sample during the VRC test </t>
  </si>
  <si>
    <t>p</t>
  </si>
  <si>
    <t>Reads request</t>
  </si>
  <si>
    <r>
      <t>floral buds (Camelina Sativa, Capsella Rubella, Arabidopsis thaliana, Brassica O, Arabidopsis Lyrata,</t>
    </r>
    <r>
      <rPr>
        <sz val="16"/>
        <color rgb="FFFF0000"/>
        <rFont val="Calibri"/>
        <family val="2"/>
        <scheme val="minor"/>
      </rPr>
      <t xml:space="preserve"> pennycress</t>
    </r>
    <r>
      <rPr>
        <sz val="16"/>
        <color theme="1"/>
        <rFont val="Calibri"/>
        <family val="2"/>
        <scheme val="minor"/>
      </rPr>
      <t>)</t>
    </r>
  </si>
  <si>
    <t>exp1</t>
  </si>
  <si>
    <t>exp2</t>
  </si>
  <si>
    <t>exp3</t>
  </si>
  <si>
    <t>waiting for pennycress</t>
  </si>
  <si>
    <t>waiting for rice</t>
  </si>
  <si>
    <r>
      <t xml:space="preserve">3 Monocots panicle-milk stage (Brachy, Panicum, sorghum, </t>
    </r>
    <r>
      <rPr>
        <sz val="16"/>
        <color rgb="FFFF0000"/>
        <rFont val="Calibri"/>
        <family val="2"/>
        <scheme val="minor"/>
      </rPr>
      <t>rice</t>
    </r>
    <r>
      <rPr>
        <sz val="16"/>
        <color theme="1"/>
        <rFont val="Calibri"/>
        <family val="2"/>
        <scheme val="minor"/>
      </rPr>
      <t>)</t>
    </r>
  </si>
  <si>
    <t>Number of retrieved beads with 1+ viable cells</t>
  </si>
  <si>
    <t>exp4</t>
  </si>
  <si>
    <t>rice panicle stage FS2, 1mm, bio rep-1&amp;2</t>
  </si>
  <si>
    <t>rice panicle stage FS3, 2-3mm, bio rep-1</t>
  </si>
  <si>
    <t>Brachy_spike_1m_FZ_I_2b</t>
  </si>
  <si>
    <t>Panicum_Pani_1mm_3b</t>
  </si>
  <si>
    <t>2 Monocots young panicles satge FS2 (1mm - 1.5mm)</t>
  </si>
  <si>
    <t>2 Monocots young panicles satge FS3 (2mm - 3mm)</t>
  </si>
  <si>
    <t>from 2 monocots</t>
  </si>
  <si>
    <t>Panicum_Pani_boot-1_1</t>
  </si>
  <si>
    <t>rice_pani_stg6_1</t>
  </si>
  <si>
    <t>Sorg_stage6_1_1</t>
  </si>
  <si>
    <t>from 3 monocots</t>
  </si>
  <si>
    <t>3 Monocots young panicles boot satge (not heading)</t>
  </si>
  <si>
    <t>Exp</t>
  </si>
  <si>
    <t>Mature leaves (Camelina Sativa, Capsella Rubella, Arabidopsis thaliana, Brassica O, Arabidopsis Lyrata, pennycress)</t>
  </si>
  <si>
    <t>mixed BD beads from 4 leftover tubes</t>
  </si>
  <si>
    <t>original BD beads</t>
  </si>
  <si>
    <t>Sorghum_Pani_milky, Panicum_Pani_milky-1, rice_pani_stg8_mlk_1_2b</t>
  </si>
  <si>
    <t>floral buds (Camelina Sativa, Capsella Rubella, Arabidopsis thaliana, Brassica O, Arabidopsis Lyrata, pennycress)</t>
  </si>
  <si>
    <t>one or two lanes?</t>
  </si>
  <si>
    <t>Seagrass leaf</t>
  </si>
  <si>
    <t>3 Monocots panicle-milk stage (Panicum, sorghum, rice)</t>
  </si>
  <si>
    <t>rice_pani_stg5_1, Panicum_Pani_preboot-2, Sorg_stage5_1_1</t>
  </si>
  <si>
    <t>Young panicles: rice stg5 2.5cm to 3cm, Panicum prebooting (or 2cm), sorghum prebooting</t>
  </si>
  <si>
    <t>rice_pani_1cm_1,Panicum_Pani_4mm_3b, Sorg_pani_3M_4mm_1</t>
  </si>
  <si>
    <t>Young panicles: rice stage 4.5 1cm, Panicum 4mm, sorghum 4mm</t>
  </si>
  <si>
    <t>rice_FS4_1,  Panicum_Pani_2mm_3b, Sorg_pani_3M_2mm_1</t>
  </si>
  <si>
    <t>Young panicles: rice FS4 5mm,  panicum 2mm, sorghum 2mm</t>
  </si>
  <si>
    <t>Pedulis_WC_sepal</t>
  </si>
  <si>
    <t>Young panicles: panicum 1mm, sorghum 1mm</t>
  </si>
  <si>
    <t>passion flower filament</t>
  </si>
  <si>
    <t>Pedulis_WC_filament</t>
  </si>
  <si>
    <t>Pedulis_WC_pistil</t>
  </si>
  <si>
    <t>passion flower pistil</t>
  </si>
  <si>
    <t>passion flower stamen</t>
  </si>
  <si>
    <t>Pedulis_WC_stamen</t>
  </si>
  <si>
    <t>Pedulis_WC_petal</t>
  </si>
  <si>
    <t>passion flower petal</t>
  </si>
  <si>
    <t>Sorg_pani_3M_1mm_1, Panicum_Pani_1mm_1</t>
  </si>
  <si>
    <t>exp5</t>
  </si>
  <si>
    <t>exp6</t>
  </si>
  <si>
    <t>exp7</t>
  </si>
  <si>
    <t>exp8</t>
  </si>
  <si>
    <t>exp9</t>
  </si>
  <si>
    <t>exp10</t>
  </si>
  <si>
    <t>exp11</t>
  </si>
  <si>
    <t>load 40K</t>
  </si>
  <si>
    <t>passion flower whole (patrick , –sepal) + pennycress + camelina</t>
  </si>
  <si>
    <t>passion flower sepal + brachy flag leaf + rice Z3 + panicum Z1 or 4</t>
  </si>
  <si>
    <t>Leaf cauline leaf of Brassica simliar location (Col-0, camelina, penncress, capsella)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</si>
</sst>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2" fillId="0" borderId="5" xfId="0" applyFont="1" applyBorder="1" applyAlignment="1">
      <alignment horizontal="right" wrapText="1"/>
    </xf>
    <xf numFmtId="0" fontId="2" fillId="0" borderId="6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2" fillId="0" borderId="4" xfId="0" applyFont="1" applyBorder="1" applyAlignment="1">
      <alignment horizontal="right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2" fillId="0" borderId="0" xfId="0" applyFont="1"/>
    <xf numFmtId="0" fontId="5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 wrapText="1"/>
    </xf>
    <xf numFmtId="0" fontId="0" fillId="0" borderId="2" xfId="0" applyBorder="1"/>
    <xf numFmtId="0" fontId="5" fillId="0" borderId="2" xfId="0" applyFont="1" applyBorder="1" applyAlignment="1">
      <alignment horizontal="center" vertical="center"/>
    </xf>
    <xf numFmtId="0" fontId="2" fillId="0" borderId="2" xfId="0" applyFont="1" applyBorder="1"/>
    <xf numFmtId="0" fontId="5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4" borderId="2" xfId="0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8" xfId="0" applyFill="1" applyBorder="1" applyAlignment="1"/>
    <xf numFmtId="0" fontId="0" fillId="4" borderId="7" xfId="0" applyFill="1" applyBorder="1" applyAlignment="1"/>
    <xf numFmtId="0" fontId="0" fillId="4" borderId="9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"/>
  <sheetViews>
    <sheetView topLeftCell="A7" workbookViewId="0">
      <selection activeCell="L12" sqref="L12"/>
    </sheetView>
  </sheetViews>
  <sheetFormatPr baseColWidth="10" defaultColWidth="8.83203125" defaultRowHeight="15" x14ac:dyDescent="0.2"/>
  <cols>
    <col min="1" max="1" width="37" style="9" customWidth="1"/>
    <col min="2" max="2" width="21.5" bestFit="1" customWidth="1"/>
    <col min="3" max="3" width="7.5" bestFit="1" customWidth="1"/>
    <col min="4" max="4" width="6.6640625" customWidth="1"/>
    <col min="5" max="5" width="7.5" customWidth="1"/>
    <col min="6" max="6" width="22.5" customWidth="1"/>
    <col min="7" max="7" width="27.33203125" customWidth="1"/>
    <col min="8" max="8" width="14.6640625" bestFit="1" customWidth="1"/>
    <col min="9" max="9" width="10.5" bestFit="1" customWidth="1"/>
  </cols>
  <sheetData>
    <row r="2" spans="1:11" s="2" customFormat="1" ht="30" customHeight="1" x14ac:dyDescent="0.2">
      <c r="A2" s="3" t="s">
        <v>11</v>
      </c>
      <c r="B2" s="3" t="s">
        <v>2</v>
      </c>
      <c r="C2" s="3" t="s">
        <v>1</v>
      </c>
      <c r="D2" s="3" t="s">
        <v>4</v>
      </c>
      <c r="E2" s="3" t="s">
        <v>0</v>
      </c>
      <c r="F2" s="3" t="s">
        <v>3</v>
      </c>
      <c r="G2" s="3" t="s">
        <v>10</v>
      </c>
      <c r="H2" s="3" t="s">
        <v>12</v>
      </c>
      <c r="I2" s="3" t="s">
        <v>15</v>
      </c>
    </row>
    <row r="3" spans="1:11" s="1" customFormat="1" ht="32" x14ac:dyDescent="0.2">
      <c r="A3" s="1" t="s">
        <v>13</v>
      </c>
      <c r="B3" s="1" t="s">
        <v>6</v>
      </c>
      <c r="C3" s="1" t="s">
        <v>5</v>
      </c>
      <c r="D3" s="1" t="s">
        <v>7</v>
      </c>
      <c r="E3" s="1" t="s">
        <v>9</v>
      </c>
      <c r="F3" s="1" t="s">
        <v>8</v>
      </c>
      <c r="G3" s="4" t="s">
        <v>14</v>
      </c>
      <c r="H3" s="5">
        <v>45856</v>
      </c>
      <c r="I3" s="1" t="s">
        <v>16</v>
      </c>
    </row>
    <row r="4" spans="1:11" ht="32" x14ac:dyDescent="0.2">
      <c r="A4" s="1" t="s">
        <v>17</v>
      </c>
      <c r="B4" s="1" t="s">
        <v>6</v>
      </c>
      <c r="C4" s="1" t="s">
        <v>5</v>
      </c>
      <c r="D4" s="1" t="s">
        <v>7</v>
      </c>
      <c r="E4" s="1" t="s">
        <v>9</v>
      </c>
      <c r="F4" s="1" t="s">
        <v>8</v>
      </c>
      <c r="G4" s="4" t="s">
        <v>14</v>
      </c>
      <c r="H4" s="5">
        <v>45860</v>
      </c>
      <c r="I4" s="1" t="s">
        <v>18</v>
      </c>
    </row>
    <row r="5" spans="1:11" ht="48" x14ac:dyDescent="0.2">
      <c r="A5" s="1" t="s">
        <v>19</v>
      </c>
      <c r="B5" s="1" t="s">
        <v>6</v>
      </c>
      <c r="C5" s="1" t="s">
        <v>5</v>
      </c>
      <c r="D5" s="1" t="s">
        <v>7</v>
      </c>
      <c r="E5" s="1" t="s">
        <v>9</v>
      </c>
      <c r="F5" s="1" t="s">
        <v>8</v>
      </c>
      <c r="G5" s="4" t="s">
        <v>22</v>
      </c>
      <c r="H5" s="5">
        <v>45860</v>
      </c>
      <c r="I5" s="1" t="s">
        <v>25</v>
      </c>
    </row>
    <row r="6" spans="1:11" ht="48" x14ac:dyDescent="0.2">
      <c r="A6" s="1" t="s">
        <v>20</v>
      </c>
      <c r="B6" s="1" t="s">
        <v>6</v>
      </c>
      <c r="C6" s="1" t="s">
        <v>5</v>
      </c>
      <c r="D6" s="1" t="s">
        <v>7</v>
      </c>
      <c r="E6" s="1" t="s">
        <v>9</v>
      </c>
      <c r="F6" s="1" t="s">
        <v>8</v>
      </c>
      <c r="G6" s="4" t="s">
        <v>23</v>
      </c>
      <c r="H6" s="5">
        <v>45860</v>
      </c>
      <c r="I6" s="1" t="s">
        <v>26</v>
      </c>
    </row>
    <row r="7" spans="1:11" ht="48" x14ac:dyDescent="0.2">
      <c r="A7" s="6" t="s">
        <v>21</v>
      </c>
      <c r="B7" s="6" t="s">
        <v>6</v>
      </c>
      <c r="C7" s="6" t="s">
        <v>5</v>
      </c>
      <c r="D7" s="6" t="s">
        <v>7</v>
      </c>
      <c r="E7" s="6" t="s">
        <v>9</v>
      </c>
      <c r="F7" s="6" t="s">
        <v>8</v>
      </c>
      <c r="G7" s="7" t="s">
        <v>24</v>
      </c>
      <c r="H7" s="8">
        <v>45860</v>
      </c>
      <c r="I7" s="6" t="s">
        <v>27</v>
      </c>
    </row>
    <row r="11" spans="1:11" ht="32" x14ac:dyDescent="0.2">
      <c r="A11" s="3" t="s">
        <v>11</v>
      </c>
      <c r="B11" s="3" t="s">
        <v>2</v>
      </c>
      <c r="C11" s="3" t="s">
        <v>1</v>
      </c>
      <c r="D11" s="3" t="s">
        <v>4</v>
      </c>
      <c r="E11" s="3" t="s">
        <v>0</v>
      </c>
      <c r="F11" s="3" t="s">
        <v>3</v>
      </c>
      <c r="G11" s="3" t="s">
        <v>10</v>
      </c>
      <c r="H11" s="3" t="s">
        <v>12</v>
      </c>
      <c r="I11" s="3" t="s">
        <v>15</v>
      </c>
      <c r="J11" s="3" t="s">
        <v>65</v>
      </c>
      <c r="K11" s="3" t="s">
        <v>70</v>
      </c>
    </row>
    <row r="12" spans="1:11" ht="32" x14ac:dyDescent="0.2">
      <c r="A12" s="12" t="s">
        <v>36</v>
      </c>
      <c r="B12" s="4" t="s">
        <v>45</v>
      </c>
      <c r="C12" s="1" t="s">
        <v>47</v>
      </c>
      <c r="D12" s="1" t="s">
        <v>48</v>
      </c>
      <c r="E12" s="1" t="s">
        <v>9</v>
      </c>
      <c r="F12" s="1" t="s">
        <v>50</v>
      </c>
      <c r="G12" s="4" t="s">
        <v>54</v>
      </c>
      <c r="H12" s="5">
        <v>45867</v>
      </c>
      <c r="I12" s="1" t="s">
        <v>69</v>
      </c>
      <c r="J12" s="1">
        <v>4</v>
      </c>
      <c r="K12" s="1">
        <v>1</v>
      </c>
    </row>
    <row r="13" spans="1:11" ht="32" x14ac:dyDescent="0.2">
      <c r="A13" s="12" t="s">
        <v>37</v>
      </c>
      <c r="B13" s="4" t="s">
        <v>45</v>
      </c>
      <c r="C13" s="1" t="s">
        <v>47</v>
      </c>
      <c r="D13" s="1" t="s">
        <v>48</v>
      </c>
      <c r="E13" s="1" t="s">
        <v>9</v>
      </c>
      <c r="F13" s="1" t="s">
        <v>51</v>
      </c>
      <c r="G13" s="4" t="s">
        <v>55</v>
      </c>
      <c r="H13" s="5">
        <v>45867</v>
      </c>
      <c r="I13" s="1" t="s">
        <v>68</v>
      </c>
      <c r="J13" s="1">
        <v>3</v>
      </c>
      <c r="K13" s="1">
        <v>1</v>
      </c>
    </row>
    <row r="14" spans="1:11" ht="32" x14ac:dyDescent="0.2">
      <c r="A14" s="12" t="s">
        <v>38</v>
      </c>
      <c r="B14" s="4" t="s">
        <v>45</v>
      </c>
      <c r="C14" s="1" t="s">
        <v>5</v>
      </c>
      <c r="D14" s="1" t="s">
        <v>48</v>
      </c>
      <c r="E14" s="1" t="s">
        <v>9</v>
      </c>
      <c r="F14" s="1" t="s">
        <v>51</v>
      </c>
      <c r="G14" s="4" t="s">
        <v>54</v>
      </c>
      <c r="H14" s="5">
        <v>45877</v>
      </c>
      <c r="I14" s="1" t="s">
        <v>66</v>
      </c>
      <c r="J14" s="1">
        <v>1</v>
      </c>
      <c r="K14" s="1">
        <v>2</v>
      </c>
    </row>
    <row r="15" spans="1:11" ht="32" x14ac:dyDescent="0.2">
      <c r="A15" s="12" t="s">
        <v>39</v>
      </c>
      <c r="B15" s="4" t="s">
        <v>45</v>
      </c>
      <c r="C15" s="1" t="s">
        <v>5</v>
      </c>
      <c r="D15" s="1" t="s">
        <v>48</v>
      </c>
      <c r="E15" s="1" t="s">
        <v>9</v>
      </c>
      <c r="F15" s="1" t="s">
        <v>8</v>
      </c>
      <c r="G15" s="4" t="s">
        <v>55</v>
      </c>
      <c r="H15" s="5">
        <v>45877</v>
      </c>
      <c r="I15" s="1" t="s">
        <v>67</v>
      </c>
      <c r="J15" s="1">
        <v>2</v>
      </c>
      <c r="K15" s="1">
        <v>2</v>
      </c>
    </row>
    <row r="16" spans="1:11" ht="32" x14ac:dyDescent="0.2">
      <c r="A16" s="12" t="s">
        <v>41</v>
      </c>
      <c r="B16" s="4" t="s">
        <v>45</v>
      </c>
      <c r="C16" s="1" t="s">
        <v>47</v>
      </c>
      <c r="D16" s="1" t="s">
        <v>48</v>
      </c>
      <c r="E16" s="1" t="s">
        <v>9</v>
      </c>
      <c r="F16" s="1" t="s">
        <v>50</v>
      </c>
      <c r="G16" s="4" t="s">
        <v>56</v>
      </c>
      <c r="H16" s="5">
        <v>45883</v>
      </c>
      <c r="I16" s="1" t="s">
        <v>66</v>
      </c>
      <c r="J16" s="1">
        <v>1</v>
      </c>
      <c r="K16" s="1">
        <v>4</v>
      </c>
    </row>
    <row r="17" spans="1:11" ht="32" x14ac:dyDescent="0.2">
      <c r="A17" s="12" t="s">
        <v>42</v>
      </c>
      <c r="B17" s="4" t="s">
        <v>45</v>
      </c>
      <c r="C17" s="1" t="s">
        <v>47</v>
      </c>
      <c r="D17" s="1" t="s">
        <v>48</v>
      </c>
      <c r="E17" s="1" t="s">
        <v>9</v>
      </c>
      <c r="F17" s="1" t="s">
        <v>52</v>
      </c>
      <c r="G17" s="4" t="s">
        <v>56</v>
      </c>
      <c r="H17" s="5">
        <v>45883</v>
      </c>
      <c r="I17" s="1" t="s">
        <v>67</v>
      </c>
      <c r="J17" s="1">
        <v>2</v>
      </c>
      <c r="K17" s="1">
        <v>4</v>
      </c>
    </row>
    <row r="18" spans="1:11" ht="32" x14ac:dyDescent="0.2">
      <c r="A18" s="12" t="s">
        <v>43</v>
      </c>
      <c r="B18" s="4" t="s">
        <v>45</v>
      </c>
      <c r="C18" s="1" t="s">
        <v>47</v>
      </c>
      <c r="D18" s="1" t="s">
        <v>48</v>
      </c>
      <c r="E18" s="1" t="s">
        <v>9</v>
      </c>
      <c r="F18" s="1" t="s">
        <v>53</v>
      </c>
      <c r="G18" s="4" t="s">
        <v>56</v>
      </c>
      <c r="H18" s="5">
        <v>45883</v>
      </c>
      <c r="I18" s="1" t="s">
        <v>68</v>
      </c>
      <c r="J18" s="1">
        <v>3</v>
      </c>
      <c r="K18" s="1">
        <v>4</v>
      </c>
    </row>
    <row r="19" spans="1:11" ht="32" x14ac:dyDescent="0.2">
      <c r="A19" s="12" t="s">
        <v>40</v>
      </c>
      <c r="B19" s="4" t="s">
        <v>45</v>
      </c>
      <c r="C19" s="1" t="s">
        <v>49</v>
      </c>
      <c r="D19" s="1" t="s">
        <v>48</v>
      </c>
      <c r="E19" s="1" t="s">
        <v>9</v>
      </c>
      <c r="F19" s="1" t="s">
        <v>8</v>
      </c>
      <c r="G19" s="4" t="s">
        <v>56</v>
      </c>
      <c r="H19" s="5">
        <v>45877</v>
      </c>
      <c r="I19" s="1" t="s">
        <v>66</v>
      </c>
      <c r="J19" s="1">
        <v>1</v>
      </c>
      <c r="K19" s="1">
        <v>3</v>
      </c>
    </row>
    <row r="20" spans="1:11" ht="64" x14ac:dyDescent="0.2">
      <c r="A20" s="13" t="s">
        <v>44</v>
      </c>
      <c r="B20" s="7" t="s">
        <v>46</v>
      </c>
      <c r="C20" s="6" t="s">
        <v>47</v>
      </c>
      <c r="D20" s="6" t="s">
        <v>48</v>
      </c>
      <c r="E20" s="6" t="s">
        <v>9</v>
      </c>
      <c r="F20" s="6" t="s">
        <v>50</v>
      </c>
      <c r="G20" s="7" t="s">
        <v>57</v>
      </c>
      <c r="H20" s="8">
        <v>45891</v>
      </c>
      <c r="I20" s="6" t="s">
        <v>67</v>
      </c>
      <c r="J20" s="6">
        <v>2</v>
      </c>
      <c r="K20" s="6">
        <v>3</v>
      </c>
    </row>
    <row r="26" spans="1:11" ht="29" x14ac:dyDescent="0.2">
      <c r="A26" s="14" t="s">
        <v>64</v>
      </c>
    </row>
    <row r="27" spans="1:11" ht="29" x14ac:dyDescent="0.2">
      <c r="A27" s="14" t="s">
        <v>61</v>
      </c>
      <c r="J27">
        <f>50/8</f>
        <v>6.25</v>
      </c>
    </row>
    <row r="28" spans="1:11" ht="29" x14ac:dyDescent="0.2">
      <c r="A28" s="14" t="s">
        <v>62</v>
      </c>
    </row>
    <row r="29" spans="1:11" ht="29" x14ac:dyDescent="0.2">
      <c r="A29" s="14" t="s">
        <v>63</v>
      </c>
    </row>
    <row r="35" spans="1:4" ht="16" thickBot="1" x14ac:dyDescent="0.25">
      <c r="C35" t="s">
        <v>72</v>
      </c>
    </row>
    <row r="36" spans="1:4" ht="16" thickBot="1" x14ac:dyDescent="0.25">
      <c r="A36" s="10" t="s">
        <v>36</v>
      </c>
      <c r="B36" s="20">
        <v>392</v>
      </c>
      <c r="C36" s="23">
        <v>13</v>
      </c>
      <c r="D36">
        <v>1568</v>
      </c>
    </row>
    <row r="37" spans="1:4" ht="16" thickBot="1" x14ac:dyDescent="0.25">
      <c r="A37" s="11" t="s">
        <v>36</v>
      </c>
      <c r="B37" s="21">
        <v>392</v>
      </c>
      <c r="C37" s="24">
        <v>13</v>
      </c>
    </row>
    <row r="38" spans="1:4" ht="16" thickBot="1" x14ac:dyDescent="0.25">
      <c r="A38" s="11" t="s">
        <v>36</v>
      </c>
      <c r="B38" s="21">
        <v>392</v>
      </c>
      <c r="C38" s="24">
        <v>13</v>
      </c>
    </row>
    <row r="39" spans="1:4" ht="16" thickBot="1" x14ac:dyDescent="0.25">
      <c r="A39" s="11" t="s">
        <v>36</v>
      </c>
      <c r="B39" s="21">
        <v>392</v>
      </c>
      <c r="C39" s="24">
        <v>13</v>
      </c>
    </row>
    <row r="40" spans="1:4" ht="16" thickBot="1" x14ac:dyDescent="0.25">
      <c r="A40" s="11" t="s">
        <v>37</v>
      </c>
      <c r="B40" s="21">
        <v>787</v>
      </c>
      <c r="C40" s="24">
        <v>13</v>
      </c>
      <c r="D40">
        <v>3148</v>
      </c>
    </row>
    <row r="41" spans="1:4" ht="16" thickBot="1" x14ac:dyDescent="0.25">
      <c r="A41" s="11" t="s">
        <v>37</v>
      </c>
      <c r="B41" s="21">
        <v>787</v>
      </c>
      <c r="C41" s="24">
        <v>13</v>
      </c>
    </row>
    <row r="42" spans="1:4" ht="16" thickBot="1" x14ac:dyDescent="0.25">
      <c r="A42" s="11" t="s">
        <v>37</v>
      </c>
      <c r="B42" s="21">
        <v>787</v>
      </c>
      <c r="C42" s="24">
        <v>13</v>
      </c>
    </row>
    <row r="43" spans="1:4" ht="16" thickBot="1" x14ac:dyDescent="0.25">
      <c r="A43" s="22" t="s">
        <v>37</v>
      </c>
      <c r="B43" s="21">
        <v>787</v>
      </c>
      <c r="C43" s="24">
        <v>13</v>
      </c>
    </row>
    <row r="44" spans="1:4" ht="16" thickBot="1" x14ac:dyDescent="0.25">
      <c r="A44" s="11" t="s">
        <v>38</v>
      </c>
      <c r="B44" s="21">
        <v>708</v>
      </c>
      <c r="C44" s="24">
        <v>14</v>
      </c>
      <c r="D44">
        <v>2832</v>
      </c>
    </row>
    <row r="45" spans="1:4" ht="16" thickBot="1" x14ac:dyDescent="0.25">
      <c r="A45" s="11" t="s">
        <v>38</v>
      </c>
      <c r="B45" s="21">
        <v>708</v>
      </c>
      <c r="C45" s="24">
        <v>14</v>
      </c>
    </row>
    <row r="46" spans="1:4" ht="16" thickBot="1" x14ac:dyDescent="0.25">
      <c r="A46" s="11" t="s">
        <v>38</v>
      </c>
      <c r="B46" s="21">
        <v>708</v>
      </c>
      <c r="C46" s="24">
        <v>14</v>
      </c>
    </row>
    <row r="47" spans="1:4" ht="16" thickBot="1" x14ac:dyDescent="0.25">
      <c r="A47" s="11" t="s">
        <v>38</v>
      </c>
      <c r="B47" s="21">
        <v>708</v>
      </c>
      <c r="C47" s="24">
        <v>14</v>
      </c>
    </row>
    <row r="48" spans="1:4" ht="16" thickBot="1" x14ac:dyDescent="0.25">
      <c r="A48" s="11" t="s">
        <v>39</v>
      </c>
      <c r="B48" s="21">
        <v>587</v>
      </c>
      <c r="C48" s="24">
        <v>14</v>
      </c>
      <c r="D48">
        <v>2348</v>
      </c>
    </row>
    <row r="49" spans="1:4" ht="16" thickBot="1" x14ac:dyDescent="0.25">
      <c r="A49" s="11" t="s">
        <v>39</v>
      </c>
      <c r="B49" s="21">
        <v>587</v>
      </c>
      <c r="C49" s="24">
        <v>14</v>
      </c>
    </row>
    <row r="50" spans="1:4" ht="16" thickBot="1" x14ac:dyDescent="0.25">
      <c r="A50" s="11" t="s">
        <v>39</v>
      </c>
      <c r="B50" s="21">
        <v>587</v>
      </c>
      <c r="C50" s="24">
        <v>14</v>
      </c>
    </row>
    <row r="51" spans="1:4" ht="16" thickBot="1" x14ac:dyDescent="0.25">
      <c r="A51" s="11" t="s">
        <v>39</v>
      </c>
      <c r="B51" s="21">
        <v>587</v>
      </c>
      <c r="C51" s="24">
        <v>14</v>
      </c>
    </row>
    <row r="52" spans="1:4" ht="16" thickBot="1" x14ac:dyDescent="0.25">
      <c r="A52" s="11" t="s">
        <v>41</v>
      </c>
      <c r="B52" s="21">
        <v>415</v>
      </c>
      <c r="C52" s="24">
        <v>15</v>
      </c>
      <c r="D52">
        <v>1660</v>
      </c>
    </row>
    <row r="53" spans="1:4" ht="16" thickBot="1" x14ac:dyDescent="0.25">
      <c r="A53" s="11" t="s">
        <v>41</v>
      </c>
      <c r="B53" s="21">
        <v>415</v>
      </c>
      <c r="C53" s="24">
        <v>15</v>
      </c>
    </row>
    <row r="54" spans="1:4" ht="16" thickBot="1" x14ac:dyDescent="0.25">
      <c r="A54" s="11" t="s">
        <v>41</v>
      </c>
      <c r="B54" s="21">
        <v>415</v>
      </c>
      <c r="C54" s="24">
        <v>15</v>
      </c>
    </row>
    <row r="55" spans="1:4" ht="16" thickBot="1" x14ac:dyDescent="0.25">
      <c r="A55" s="22" t="s">
        <v>41</v>
      </c>
      <c r="B55" s="21">
        <v>415</v>
      </c>
      <c r="C55" s="24">
        <v>15</v>
      </c>
    </row>
    <row r="56" spans="1:4" ht="16" thickBot="1" x14ac:dyDescent="0.25">
      <c r="A56" s="11" t="s">
        <v>42</v>
      </c>
      <c r="B56" s="21">
        <v>283</v>
      </c>
      <c r="C56" s="24">
        <v>15</v>
      </c>
      <c r="D56">
        <v>1132</v>
      </c>
    </row>
    <row r="57" spans="1:4" ht="16" thickBot="1" x14ac:dyDescent="0.25">
      <c r="A57" s="11" t="s">
        <v>42</v>
      </c>
      <c r="B57" s="21">
        <v>283</v>
      </c>
      <c r="C57" s="24">
        <v>15</v>
      </c>
    </row>
    <row r="58" spans="1:4" ht="16" thickBot="1" x14ac:dyDescent="0.25">
      <c r="A58" s="11" t="s">
        <v>42</v>
      </c>
      <c r="B58" s="21">
        <v>283</v>
      </c>
      <c r="C58" s="24">
        <v>15</v>
      </c>
    </row>
    <row r="59" spans="1:4" ht="16" thickBot="1" x14ac:dyDescent="0.25">
      <c r="A59" s="11" t="s">
        <v>42</v>
      </c>
      <c r="B59" s="21">
        <v>283</v>
      </c>
      <c r="C59" s="24">
        <v>15</v>
      </c>
    </row>
    <row r="60" spans="1:4" ht="16" thickBot="1" x14ac:dyDescent="0.25">
      <c r="A60" s="11" t="s">
        <v>43</v>
      </c>
      <c r="B60" s="21">
        <v>450</v>
      </c>
      <c r="C60" s="24">
        <v>15</v>
      </c>
      <c r="D60">
        <v>1800</v>
      </c>
    </row>
    <row r="61" spans="1:4" ht="16" thickBot="1" x14ac:dyDescent="0.25">
      <c r="A61" s="11" t="s">
        <v>43</v>
      </c>
      <c r="B61" s="21">
        <v>450</v>
      </c>
      <c r="C61" s="24">
        <v>15</v>
      </c>
    </row>
    <row r="62" spans="1:4" ht="16" thickBot="1" x14ac:dyDescent="0.25">
      <c r="A62" s="11" t="s">
        <v>43</v>
      </c>
      <c r="B62" s="21">
        <v>450</v>
      </c>
      <c r="C62" s="24">
        <v>15</v>
      </c>
    </row>
    <row r="63" spans="1:4" ht="16" thickBot="1" x14ac:dyDescent="0.25">
      <c r="A63" s="11" t="s">
        <v>43</v>
      </c>
      <c r="B63" s="21">
        <v>450</v>
      </c>
      <c r="C63" s="24">
        <v>15</v>
      </c>
    </row>
    <row r="64" spans="1:4" ht="16" thickBot="1" x14ac:dyDescent="0.25">
      <c r="A64" s="11" t="s">
        <v>40</v>
      </c>
      <c r="B64" s="21">
        <v>633</v>
      </c>
      <c r="C64" s="24">
        <v>16</v>
      </c>
      <c r="D64">
        <v>2532</v>
      </c>
    </row>
    <row r="65" spans="1:7" ht="16" thickBot="1" x14ac:dyDescent="0.25">
      <c r="A65" s="11" t="s">
        <v>40</v>
      </c>
      <c r="B65" s="21">
        <v>633</v>
      </c>
      <c r="C65" s="24">
        <v>16</v>
      </c>
    </row>
    <row r="66" spans="1:7" ht="16" thickBot="1" x14ac:dyDescent="0.25">
      <c r="A66" s="11" t="s">
        <v>40</v>
      </c>
      <c r="B66" s="21">
        <v>633</v>
      </c>
      <c r="C66" s="24">
        <v>16</v>
      </c>
    </row>
    <row r="67" spans="1:7" ht="16" thickBot="1" x14ac:dyDescent="0.25">
      <c r="A67" s="22" t="s">
        <v>40</v>
      </c>
      <c r="B67" s="21">
        <v>633</v>
      </c>
      <c r="C67" s="24">
        <v>16</v>
      </c>
    </row>
    <row r="68" spans="1:7" ht="16" thickBot="1" x14ac:dyDescent="0.25">
      <c r="A68" s="11" t="s">
        <v>44</v>
      </c>
      <c r="B68" s="21">
        <v>1514</v>
      </c>
      <c r="C68" s="24">
        <v>16</v>
      </c>
      <c r="D68">
        <v>1514</v>
      </c>
    </row>
    <row r="70" spans="1:7" ht="16" x14ac:dyDescent="0.2">
      <c r="A70" s="25" t="s">
        <v>11</v>
      </c>
      <c r="B70" s="26" t="s">
        <v>73</v>
      </c>
      <c r="C70" s="28" t="s">
        <v>70</v>
      </c>
      <c r="F70" s="12" t="s">
        <v>36</v>
      </c>
      <c r="G70" s="1">
        <v>1</v>
      </c>
    </row>
    <row r="71" spans="1:7" x14ac:dyDescent="0.2">
      <c r="A71" s="15" t="s">
        <v>36</v>
      </c>
      <c r="B71" s="15">
        <v>1568</v>
      </c>
      <c r="C71" s="15">
        <f t="shared" ref="C71:C77" si="0">VLOOKUP(A:A,F70:G78,2,FALSE)</f>
        <v>1</v>
      </c>
      <c r="F71" s="12" t="s">
        <v>37</v>
      </c>
      <c r="G71" s="1">
        <v>1</v>
      </c>
    </row>
    <row r="72" spans="1:7" x14ac:dyDescent="0.2">
      <c r="A72" s="15" t="s">
        <v>37</v>
      </c>
      <c r="B72" s="15">
        <v>3148</v>
      </c>
      <c r="C72" s="15">
        <f t="shared" si="0"/>
        <v>1</v>
      </c>
      <c r="F72" s="12" t="s">
        <v>38</v>
      </c>
      <c r="G72" s="1">
        <v>2</v>
      </c>
    </row>
    <row r="73" spans="1:7" x14ac:dyDescent="0.2">
      <c r="A73" s="15" t="s">
        <v>38</v>
      </c>
      <c r="B73" s="15">
        <v>2832</v>
      </c>
      <c r="C73" s="15">
        <f t="shared" si="0"/>
        <v>2</v>
      </c>
      <c r="F73" s="12" t="s">
        <v>39</v>
      </c>
      <c r="G73" s="1">
        <v>2</v>
      </c>
    </row>
    <row r="74" spans="1:7" x14ac:dyDescent="0.2">
      <c r="A74" s="15" t="s">
        <v>39</v>
      </c>
      <c r="B74" s="15">
        <v>2348</v>
      </c>
      <c r="C74" s="15">
        <f t="shared" si="0"/>
        <v>2</v>
      </c>
      <c r="F74" s="12" t="s">
        <v>40</v>
      </c>
      <c r="G74" s="1">
        <v>3</v>
      </c>
    </row>
    <row r="75" spans="1:7" x14ac:dyDescent="0.2">
      <c r="A75" s="15" t="s">
        <v>41</v>
      </c>
      <c r="B75" s="15">
        <v>1660</v>
      </c>
      <c r="C75" s="15">
        <f t="shared" si="0"/>
        <v>4</v>
      </c>
      <c r="F75" s="12" t="s">
        <v>41</v>
      </c>
      <c r="G75" s="1">
        <v>4</v>
      </c>
    </row>
    <row r="76" spans="1:7" x14ac:dyDescent="0.2">
      <c r="A76" s="15" t="s">
        <v>42</v>
      </c>
      <c r="B76" s="15">
        <v>1132</v>
      </c>
      <c r="C76" s="15">
        <f t="shared" si="0"/>
        <v>4</v>
      </c>
      <c r="F76" s="12" t="s">
        <v>42</v>
      </c>
      <c r="G76" s="1">
        <v>4</v>
      </c>
    </row>
    <row r="77" spans="1:7" x14ac:dyDescent="0.2">
      <c r="A77" s="15" t="s">
        <v>43</v>
      </c>
      <c r="B77" s="15">
        <v>1800</v>
      </c>
      <c r="C77" s="15">
        <f t="shared" si="0"/>
        <v>4</v>
      </c>
      <c r="F77" s="12" t="s">
        <v>43</v>
      </c>
      <c r="G77" s="1">
        <v>4</v>
      </c>
    </row>
    <row r="78" spans="1:7" x14ac:dyDescent="0.2">
      <c r="A78" s="27" t="s">
        <v>40</v>
      </c>
      <c r="B78" s="15">
        <v>2532</v>
      </c>
      <c r="C78" s="15">
        <v>3</v>
      </c>
      <c r="F78" s="13" t="s">
        <v>44</v>
      </c>
      <c r="G78" s="6">
        <v>3</v>
      </c>
    </row>
    <row r="79" spans="1:7" x14ac:dyDescent="0.2">
      <c r="A79" s="15" t="s">
        <v>44</v>
      </c>
      <c r="B79" s="15">
        <v>1514</v>
      </c>
      <c r="C79" s="15">
        <f>VLOOKUP(A:A,F78:G86,2,FALSE)</f>
        <v>3</v>
      </c>
    </row>
  </sheetData>
  <autoFilter ref="A35:K35" xr:uid="{B950E7D0-7971-4E75-BC58-5542569E84D5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7F3B6-3089-4AB3-B71C-77D89E235266}">
  <dimension ref="A1:G17"/>
  <sheetViews>
    <sheetView workbookViewId="0">
      <selection sqref="A1:XFD1048576"/>
    </sheetView>
  </sheetViews>
  <sheetFormatPr baseColWidth="10" defaultColWidth="8.83203125" defaultRowHeight="15" x14ac:dyDescent="0.2"/>
  <cols>
    <col min="2" max="2" width="90.5" bestFit="1" customWidth="1"/>
    <col min="3" max="3" width="65.33203125" bestFit="1" customWidth="1"/>
    <col min="5" max="5" width="37.1640625" customWidth="1"/>
    <col min="6" max="6" width="24.5" bestFit="1" customWidth="1"/>
    <col min="7" max="7" width="26.5" bestFit="1" customWidth="1"/>
    <col min="8" max="8" width="15.5" bestFit="1" customWidth="1"/>
  </cols>
  <sheetData>
    <row r="1" spans="1:7" ht="37.5" customHeight="1" x14ac:dyDescent="0.25">
      <c r="A1" s="16"/>
      <c r="B1" s="17" t="s">
        <v>32</v>
      </c>
      <c r="C1" s="17" t="s">
        <v>33</v>
      </c>
      <c r="D1" t="s">
        <v>95</v>
      </c>
    </row>
    <row r="2" spans="1:7" ht="39.75" customHeight="1" x14ac:dyDescent="0.25">
      <c r="A2" s="18">
        <v>1</v>
      </c>
      <c r="B2" s="18" t="s">
        <v>30</v>
      </c>
      <c r="C2" s="19" t="s">
        <v>71</v>
      </c>
      <c r="D2" s="38" t="s">
        <v>75</v>
      </c>
    </row>
    <row r="3" spans="1:7" ht="39.75" customHeight="1" x14ac:dyDescent="0.25">
      <c r="A3" s="18">
        <v>2</v>
      </c>
      <c r="B3" s="18" t="s">
        <v>30</v>
      </c>
      <c r="C3" s="19" t="s">
        <v>31</v>
      </c>
      <c r="D3" s="38"/>
    </row>
    <row r="4" spans="1:7" ht="39.75" customHeight="1" x14ac:dyDescent="0.25">
      <c r="A4" s="18">
        <v>3</v>
      </c>
      <c r="B4" s="18" t="s">
        <v>28</v>
      </c>
      <c r="C4" s="19"/>
      <c r="D4" s="38"/>
    </row>
    <row r="5" spans="1:7" ht="39.75" customHeight="1" x14ac:dyDescent="0.25">
      <c r="A5" s="18">
        <v>4</v>
      </c>
      <c r="B5" s="18" t="s">
        <v>29</v>
      </c>
      <c r="C5" s="19"/>
      <c r="D5" s="38" t="s">
        <v>76</v>
      </c>
    </row>
    <row r="6" spans="1:7" ht="39.75" customHeight="1" x14ac:dyDescent="0.25">
      <c r="A6" s="18">
        <v>5</v>
      </c>
      <c r="B6" s="18" t="s">
        <v>58</v>
      </c>
      <c r="C6" s="19" t="s">
        <v>60</v>
      </c>
      <c r="D6" s="38"/>
    </row>
    <row r="7" spans="1:7" ht="39.75" customHeight="1" x14ac:dyDescent="0.25">
      <c r="A7" s="18">
        <v>6</v>
      </c>
      <c r="B7" s="18" t="s">
        <v>59</v>
      </c>
      <c r="C7" s="19" t="s">
        <v>60</v>
      </c>
      <c r="D7" s="38"/>
    </row>
    <row r="8" spans="1:7" ht="39.75" customHeight="1" x14ac:dyDescent="0.25">
      <c r="A8" s="18">
        <v>7</v>
      </c>
      <c r="B8" s="18" t="s">
        <v>34</v>
      </c>
      <c r="C8" s="19" t="s">
        <v>35</v>
      </c>
      <c r="D8" s="39" t="s">
        <v>77</v>
      </c>
    </row>
    <row r="9" spans="1:7" ht="39.75" customHeight="1" x14ac:dyDescent="0.25">
      <c r="A9" s="18">
        <v>8</v>
      </c>
      <c r="B9" s="18" t="s">
        <v>87</v>
      </c>
      <c r="C9" s="19" t="s">
        <v>89</v>
      </c>
      <c r="D9" s="39"/>
      <c r="E9" t="s">
        <v>83</v>
      </c>
      <c r="F9" s="29" t="s">
        <v>86</v>
      </c>
    </row>
    <row r="10" spans="1:7" ht="39.75" customHeight="1" x14ac:dyDescent="0.25">
      <c r="A10" s="18">
        <v>9</v>
      </c>
      <c r="B10" s="18" t="s">
        <v>88</v>
      </c>
      <c r="C10" s="19" t="s">
        <v>89</v>
      </c>
      <c r="D10" s="39"/>
      <c r="E10" t="s">
        <v>84</v>
      </c>
      <c r="F10" t="s">
        <v>85</v>
      </c>
    </row>
    <row r="11" spans="1:7" ht="36.75" customHeight="1" x14ac:dyDescent="0.25">
      <c r="A11" s="18">
        <v>10</v>
      </c>
      <c r="B11" s="19" t="s">
        <v>96</v>
      </c>
      <c r="C11" s="19" t="s">
        <v>97</v>
      </c>
      <c r="D11" s="39" t="s">
        <v>82</v>
      </c>
    </row>
    <row r="12" spans="1:7" ht="36.75" customHeight="1" x14ac:dyDescent="0.25">
      <c r="A12" s="18">
        <v>10</v>
      </c>
      <c r="B12" s="19" t="s">
        <v>96</v>
      </c>
      <c r="C12" s="19" t="s">
        <v>98</v>
      </c>
      <c r="D12" s="39"/>
    </row>
    <row r="13" spans="1:7" ht="39.75" customHeight="1" x14ac:dyDescent="0.25">
      <c r="A13" s="18">
        <v>11</v>
      </c>
      <c r="B13" s="18" t="s">
        <v>94</v>
      </c>
      <c r="C13" s="19" t="s">
        <v>93</v>
      </c>
      <c r="D13" s="39"/>
      <c r="E13" s="29" t="s">
        <v>90</v>
      </c>
      <c r="F13" s="29" t="s">
        <v>91</v>
      </c>
      <c r="G13" s="29" t="s">
        <v>92</v>
      </c>
    </row>
    <row r="14" spans="1:7" ht="39.75" customHeight="1" x14ac:dyDescent="0.25">
      <c r="A14" s="18">
        <v>12</v>
      </c>
      <c r="B14" s="18" t="s">
        <v>80</v>
      </c>
      <c r="C14" s="19" t="s">
        <v>79</v>
      </c>
    </row>
    <row r="15" spans="1:7" ht="44" x14ac:dyDescent="0.25">
      <c r="A15" s="18">
        <v>13</v>
      </c>
      <c r="B15" s="19" t="s">
        <v>74</v>
      </c>
      <c r="C15" s="19" t="s">
        <v>78</v>
      </c>
    </row>
    <row r="17" spans="2:2" x14ac:dyDescent="0.2">
      <c r="B17" t="s">
        <v>81</v>
      </c>
    </row>
  </sheetData>
  <mergeCells count="4">
    <mergeCell ref="D2:D4"/>
    <mergeCell ref="D5:D7"/>
    <mergeCell ref="D8:D10"/>
    <mergeCell ref="D11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0E243-69D7-4743-AAA6-3B6BEE44AF03}">
  <dimension ref="A1:G32"/>
  <sheetViews>
    <sheetView tabSelected="1" topLeftCell="A16" workbookViewId="0">
      <selection activeCell="B15" sqref="B15:B24"/>
    </sheetView>
  </sheetViews>
  <sheetFormatPr baseColWidth="10" defaultColWidth="8.83203125" defaultRowHeight="15" x14ac:dyDescent="0.2"/>
  <cols>
    <col min="2" max="2" width="114.83203125" customWidth="1"/>
    <col min="3" max="3" width="65.33203125" bestFit="1" customWidth="1"/>
    <col min="5" max="5" width="65.5" bestFit="1" customWidth="1"/>
    <col min="6" max="6" width="24.5" bestFit="1" customWidth="1"/>
    <col min="7" max="7" width="26.5" bestFit="1" customWidth="1"/>
    <col min="8" max="8" width="15.5" bestFit="1" customWidth="1"/>
  </cols>
  <sheetData>
    <row r="1" spans="1:7" ht="37.5" customHeight="1" x14ac:dyDescent="0.25">
      <c r="A1" s="16"/>
      <c r="B1" s="17" t="s">
        <v>32</v>
      </c>
      <c r="C1" s="17" t="s">
        <v>33</v>
      </c>
      <c r="D1" t="s">
        <v>95</v>
      </c>
    </row>
    <row r="2" spans="1:7" ht="39.75" customHeight="1" x14ac:dyDescent="0.25">
      <c r="A2" s="18">
        <v>1</v>
      </c>
      <c r="B2" s="18" t="s">
        <v>30</v>
      </c>
      <c r="C2" s="19" t="s">
        <v>71</v>
      </c>
      <c r="D2" s="38" t="s">
        <v>75</v>
      </c>
    </row>
    <row r="3" spans="1:7" ht="39.75" customHeight="1" x14ac:dyDescent="0.25">
      <c r="A3" s="18">
        <v>2</v>
      </c>
      <c r="B3" s="18" t="s">
        <v>30</v>
      </c>
      <c r="C3" s="19" t="s">
        <v>31</v>
      </c>
      <c r="D3" s="38"/>
    </row>
    <row r="4" spans="1:7" ht="39.75" customHeight="1" x14ac:dyDescent="0.25">
      <c r="A4" s="18">
        <v>3</v>
      </c>
      <c r="B4" s="18" t="s">
        <v>28</v>
      </c>
      <c r="C4" s="19"/>
      <c r="D4" s="38"/>
    </row>
    <row r="5" spans="1:7" ht="39.75" customHeight="1" x14ac:dyDescent="0.25">
      <c r="A5" s="18">
        <v>4</v>
      </c>
      <c r="B5" s="18" t="s">
        <v>29</v>
      </c>
      <c r="C5" s="19"/>
      <c r="D5" s="38" t="s">
        <v>76</v>
      </c>
    </row>
    <row r="6" spans="1:7" ht="39.75" customHeight="1" x14ac:dyDescent="0.25">
      <c r="A6" s="18">
        <v>5</v>
      </c>
      <c r="B6" s="18" t="s">
        <v>58</v>
      </c>
      <c r="C6" s="19" t="s">
        <v>60</v>
      </c>
      <c r="D6" s="38"/>
    </row>
    <row r="7" spans="1:7" ht="39.75" customHeight="1" x14ac:dyDescent="0.25">
      <c r="A7" s="18">
        <v>6</v>
      </c>
      <c r="B7" s="18" t="s">
        <v>59</v>
      </c>
      <c r="C7" s="19" t="s">
        <v>60</v>
      </c>
      <c r="D7" s="38"/>
    </row>
    <row r="8" spans="1:7" ht="39.75" customHeight="1" x14ac:dyDescent="0.25">
      <c r="A8" s="18">
        <v>7</v>
      </c>
      <c r="B8" s="18" t="s">
        <v>34</v>
      </c>
      <c r="C8" s="19" t="s">
        <v>35</v>
      </c>
      <c r="D8" s="39" t="s">
        <v>77</v>
      </c>
    </row>
    <row r="9" spans="1:7" ht="39.75" customHeight="1" x14ac:dyDescent="0.25">
      <c r="A9" s="18">
        <v>8</v>
      </c>
      <c r="B9" s="18" t="s">
        <v>87</v>
      </c>
      <c r="C9" s="19" t="s">
        <v>89</v>
      </c>
      <c r="D9" s="39"/>
      <c r="E9" t="s">
        <v>83</v>
      </c>
      <c r="F9" s="29" t="s">
        <v>86</v>
      </c>
    </row>
    <row r="10" spans="1:7" ht="39.75" customHeight="1" x14ac:dyDescent="0.25">
      <c r="A10" s="18">
        <v>9</v>
      </c>
      <c r="B10" s="18" t="s">
        <v>88</v>
      </c>
      <c r="C10" s="19" t="s">
        <v>89</v>
      </c>
      <c r="D10" s="39"/>
      <c r="E10" t="s">
        <v>84</v>
      </c>
      <c r="F10" t="s">
        <v>85</v>
      </c>
    </row>
    <row r="11" spans="1:7" ht="49" customHeight="1" x14ac:dyDescent="0.25">
      <c r="A11" s="18">
        <v>10</v>
      </c>
      <c r="B11" s="19" t="s">
        <v>96</v>
      </c>
      <c r="C11" s="19" t="s">
        <v>97</v>
      </c>
      <c r="D11" s="39" t="s">
        <v>82</v>
      </c>
    </row>
    <row r="12" spans="1:7" ht="49" customHeight="1" x14ac:dyDescent="0.25">
      <c r="A12" s="18">
        <v>10</v>
      </c>
      <c r="B12" s="19" t="s">
        <v>96</v>
      </c>
      <c r="C12" s="19" t="s">
        <v>98</v>
      </c>
      <c r="D12" s="39"/>
    </row>
    <row r="13" spans="1:7" ht="39.75" customHeight="1" x14ac:dyDescent="0.25">
      <c r="A13" s="18">
        <v>11</v>
      </c>
      <c r="B13" s="18" t="s">
        <v>94</v>
      </c>
      <c r="C13" s="19" t="s">
        <v>93</v>
      </c>
      <c r="D13" s="39"/>
      <c r="E13" s="29" t="s">
        <v>90</v>
      </c>
      <c r="F13" s="29" t="s">
        <v>91</v>
      </c>
      <c r="G13" s="29" t="s">
        <v>92</v>
      </c>
    </row>
    <row r="14" spans="1:7" ht="39.75" customHeight="1" x14ac:dyDescent="0.25">
      <c r="A14" s="30"/>
      <c r="B14" s="30"/>
      <c r="C14" s="31"/>
      <c r="D14" s="4"/>
      <c r="E14" s="29"/>
      <c r="F14" s="29"/>
      <c r="G14" s="29"/>
    </row>
    <row r="15" spans="1:7" ht="44" x14ac:dyDescent="0.25">
      <c r="A15" s="18">
        <v>13</v>
      </c>
      <c r="B15" s="19" t="s">
        <v>100</v>
      </c>
      <c r="C15" s="19"/>
      <c r="D15" s="40" t="s">
        <v>121</v>
      </c>
      <c r="E15" s="32" t="s">
        <v>101</v>
      </c>
    </row>
    <row r="16" spans="1:7" ht="27.75" customHeight="1" x14ac:dyDescent="0.25">
      <c r="A16" s="18">
        <v>14</v>
      </c>
      <c r="B16" s="18" t="s">
        <v>102</v>
      </c>
      <c r="C16" s="33" t="s">
        <v>128</v>
      </c>
      <c r="D16" s="42"/>
      <c r="E16" s="32"/>
    </row>
    <row r="17" spans="1:5" ht="39.75" customHeight="1" x14ac:dyDescent="0.25">
      <c r="A17" s="18">
        <v>12</v>
      </c>
      <c r="B17" s="18" t="s">
        <v>103</v>
      </c>
      <c r="C17" s="19"/>
      <c r="D17" s="40" t="s">
        <v>122</v>
      </c>
      <c r="E17" s="32" t="s">
        <v>99</v>
      </c>
    </row>
    <row r="18" spans="1:5" ht="25.5" customHeight="1" x14ac:dyDescent="0.25">
      <c r="A18" s="18">
        <v>15</v>
      </c>
      <c r="B18" s="18" t="s">
        <v>109</v>
      </c>
      <c r="C18" s="32"/>
      <c r="D18" s="41"/>
      <c r="E18" s="32" t="s">
        <v>108</v>
      </c>
    </row>
    <row r="19" spans="1:5" ht="21" x14ac:dyDescent="0.25">
      <c r="A19" s="18">
        <v>16</v>
      </c>
      <c r="B19" s="18" t="s">
        <v>107</v>
      </c>
      <c r="C19" s="32"/>
      <c r="D19" s="42"/>
      <c r="E19" s="34" t="s">
        <v>106</v>
      </c>
    </row>
    <row r="20" spans="1:5" ht="21" x14ac:dyDescent="0.25">
      <c r="A20" s="18">
        <v>17</v>
      </c>
      <c r="B20" s="35" t="s">
        <v>105</v>
      </c>
      <c r="C20" s="32"/>
      <c r="D20" s="43" t="s">
        <v>123</v>
      </c>
      <c r="E20" s="34" t="s">
        <v>104</v>
      </c>
    </row>
    <row r="21" spans="1:5" ht="21" x14ac:dyDescent="0.25">
      <c r="A21" s="18">
        <v>18</v>
      </c>
      <c r="B21" s="18" t="s">
        <v>111</v>
      </c>
      <c r="C21" s="32"/>
      <c r="D21" s="44"/>
      <c r="E21" s="34" t="s">
        <v>120</v>
      </c>
    </row>
    <row r="22" spans="1:5" ht="21" x14ac:dyDescent="0.25">
      <c r="A22" s="18"/>
      <c r="B22" s="18" t="s">
        <v>129</v>
      </c>
      <c r="C22" s="32"/>
      <c r="D22" s="44"/>
      <c r="E22" s="34"/>
    </row>
    <row r="23" spans="1:5" ht="21" x14ac:dyDescent="0.25">
      <c r="A23" s="18"/>
      <c r="B23" s="18" t="s">
        <v>130</v>
      </c>
      <c r="C23" s="32"/>
      <c r="D23" s="44"/>
      <c r="E23" s="32" t="s">
        <v>110</v>
      </c>
    </row>
    <row r="24" spans="1:5" ht="21" x14ac:dyDescent="0.25">
      <c r="A24" s="18"/>
      <c r="B24" s="18" t="s">
        <v>131</v>
      </c>
      <c r="C24" s="32"/>
      <c r="D24" s="44"/>
      <c r="E24" s="34"/>
    </row>
    <row r="25" spans="1:5" ht="21" x14ac:dyDescent="0.25">
      <c r="A25" s="18"/>
      <c r="B25" s="18"/>
      <c r="C25" s="32"/>
      <c r="D25" s="44"/>
      <c r="E25" s="34"/>
    </row>
    <row r="26" spans="1:5" ht="21" x14ac:dyDescent="0.25">
      <c r="A26" s="18"/>
      <c r="B26" s="18"/>
      <c r="C26" s="32"/>
      <c r="D26" s="44"/>
      <c r="E26" s="34"/>
    </row>
    <row r="27" spans="1:5" ht="21" x14ac:dyDescent="0.25">
      <c r="A27" s="18"/>
      <c r="B27" s="18"/>
      <c r="C27" s="32"/>
      <c r="D27" s="44"/>
      <c r="E27" s="34"/>
    </row>
    <row r="28" spans="1:5" ht="21" x14ac:dyDescent="0.25">
      <c r="A28" s="18">
        <v>19</v>
      </c>
      <c r="C28" s="32"/>
      <c r="D28" s="45"/>
    </row>
    <row r="29" spans="1:5" ht="21" x14ac:dyDescent="0.25">
      <c r="A29" s="18">
        <v>20</v>
      </c>
      <c r="B29" s="18" t="s">
        <v>112</v>
      </c>
      <c r="C29" s="32"/>
      <c r="D29" s="37" t="s">
        <v>124</v>
      </c>
      <c r="E29" s="34" t="s">
        <v>113</v>
      </c>
    </row>
    <row r="30" spans="1:5" ht="21" x14ac:dyDescent="0.25">
      <c r="A30" s="18">
        <v>21</v>
      </c>
      <c r="B30" s="18" t="s">
        <v>115</v>
      </c>
      <c r="C30" s="32"/>
      <c r="D30" s="37" t="s">
        <v>125</v>
      </c>
      <c r="E30" s="36" t="s">
        <v>114</v>
      </c>
    </row>
    <row r="31" spans="1:5" ht="21" x14ac:dyDescent="0.25">
      <c r="A31" s="18">
        <v>22</v>
      </c>
      <c r="B31" s="18" t="s">
        <v>116</v>
      </c>
      <c r="C31" s="32"/>
      <c r="D31" s="37" t="s">
        <v>126</v>
      </c>
      <c r="E31" s="34" t="s">
        <v>117</v>
      </c>
    </row>
    <row r="32" spans="1:5" ht="21" x14ac:dyDescent="0.25">
      <c r="A32" s="18">
        <v>23</v>
      </c>
      <c r="B32" s="18" t="s">
        <v>119</v>
      </c>
      <c r="C32" s="32"/>
      <c r="D32" s="37" t="s">
        <v>127</v>
      </c>
      <c r="E32" s="34" t="s">
        <v>118</v>
      </c>
    </row>
  </sheetData>
  <mergeCells count="6">
    <mergeCell ref="D2:D4"/>
    <mergeCell ref="D5:D7"/>
    <mergeCell ref="D8:D10"/>
    <mergeCell ref="D11:D13"/>
    <mergeCell ref="D15:D16"/>
    <mergeCell ref="D17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plan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Wang</dc:creator>
  <cp:lastModifiedBy>Peng Wang</cp:lastModifiedBy>
  <dcterms:created xsi:type="dcterms:W3CDTF">2015-06-05T18:17:20Z</dcterms:created>
  <dcterms:modified xsi:type="dcterms:W3CDTF">2025-10-06T20:26:48Z</dcterms:modified>
</cp:coreProperties>
</file>